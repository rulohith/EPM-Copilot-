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s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Insights" sheetId="4" state="visible" r:id="rId4"/>
    <sheet xmlns:r="http://schemas.openxmlformats.org/officeDocument/2006/relationships" name="READM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%;[Red](0.0%);-"/>
    <numFmt numFmtId="165" formatCode="#,##0.0;[Red](#,##0.0);-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  <color rgb="00800080"/>
    </font>
    <font>
      <color rgb="000000FF"/>
    </font>
    <font>
      <b val="1"/>
    </font>
    <font>
      <color rgb="00000000"/>
    </font>
    <font>
      <b val="1"/>
      <color rgb="00FFFFFF"/>
      <sz val="14"/>
    </font>
    <font>
      <i val="1"/>
      <color rgb="00666666"/>
    </font>
    <font>
      <color rgb="00008000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E8FF"/>
      </patternFill>
    </fill>
    <fill>
      <patternFill patternType="solid">
        <fgColor rgb="00EAF3FF"/>
      </patternFill>
    </fill>
    <fill>
      <patternFill patternType="solid">
        <fgColor rgb="00D9EAF7"/>
      </patternFill>
    </fill>
    <fill>
      <patternFill patternType="solid">
        <fgColor rgb="00F8CBAD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top style="medium">
        <color rgb="00808080"/>
      </top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3" fillId="3" borderId="0" pivotButton="0" quotePrefix="0" xfId="0"/>
    <xf numFmtId="1" fontId="3" fillId="3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4" borderId="0" pivotButton="0" quotePrefix="0" xfId="0"/>
    <xf numFmtId="165" fontId="3" fillId="4" borderId="0" pivotButton="0" quotePrefix="0" xfId="0"/>
    <xf numFmtId="165" fontId="5" fillId="0" borderId="0" pivotButton="0" quotePrefix="0" xfId="0"/>
    <xf numFmtId="164" fontId="5" fillId="0" borderId="0" pivotButton="0" quotePrefix="0" xfId="0"/>
    <xf numFmtId="0" fontId="5" fillId="0" borderId="0" pivotButton="0" quotePrefix="0" xfId="0"/>
    <xf numFmtId="164" fontId="3" fillId="4" borderId="0" pivotButton="0" quotePrefix="0" xfId="0"/>
    <xf numFmtId="0" fontId="6" fillId="2" borderId="0" pivotButton="0" quotePrefix="0" xfId="0"/>
    <xf numFmtId="0" fontId="7" fillId="0" borderId="0" pivotButton="0" quotePrefix="0" xfId="0"/>
    <xf numFmtId="0" fontId="4" fillId="5" borderId="0" pivotButton="0" quotePrefix="0" xfId="0"/>
    <xf numFmtId="165" fontId="5" fillId="5" borderId="0" pivotButton="0" quotePrefix="0" xfId="0"/>
    <xf numFmtId="0" fontId="1" fillId="2" borderId="0" pivotButton="0" quotePrefix="0" xfId="0"/>
    <xf numFmtId="164" fontId="5" fillId="5" borderId="0" pivotButton="0" quotePrefix="0" xfId="0"/>
    <xf numFmtId="1" fontId="5" fillId="5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8" fillId="6" borderId="0" pivotButton="0" quotePrefix="0" xfId="0"/>
    <xf numFmtId="165" fontId="5" fillId="6" borderId="0" pivotButton="0" quotePrefix="0" xfId="0"/>
    <xf numFmtId="164" fontId="5" fillId="6" borderId="0" pivotButton="0" quotePrefix="0" xfId="0"/>
    <xf numFmtId="0" fontId="5" fillId="6" borderId="0" pivotButton="0" quotePrefix="0" xfId="0"/>
    <xf numFmtId="0" fontId="8" fillId="7" borderId="0" pivotButton="0" quotePrefix="0" xfId="0"/>
    <xf numFmtId="165" fontId="5" fillId="7" borderId="0" pivotButton="0" quotePrefix="0" xfId="0"/>
    <xf numFmtId="164" fontId="5" fillId="7" borderId="0" pivotButton="0" quotePrefix="0" xfId="0"/>
    <xf numFmtId="0" fontId="5" fillId="7" borderId="0" pivotButton="0" quotePrefix="0" xfId="0"/>
    <xf numFmtId="0" fontId="8" fillId="8" borderId="0" pivotButton="0" quotePrefix="0" xfId="0"/>
    <xf numFmtId="165" fontId="5" fillId="8" borderId="0" pivotButton="0" quotePrefix="0" xfId="0"/>
    <xf numFmtId="164" fontId="5" fillId="8" borderId="0" pivotButton="0" quotePrefix="0" xfId="0"/>
    <xf numFmtId="0" fontId="5" fillId="8" borderId="0" pivotButton="0" quotePrefix="0" xfId="0"/>
    <xf numFmtId="0" fontId="8" fillId="9" borderId="0" pivotButton="0" quotePrefix="0" xfId="0"/>
    <xf numFmtId="165" fontId="5" fillId="9" borderId="0" pivotButton="0" quotePrefix="0" xfId="0"/>
    <xf numFmtId="164" fontId="5" fillId="9" borderId="0" pivotButton="0" quotePrefix="0" xfId="0"/>
    <xf numFmtId="0" fontId="5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Exception severity count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'Summary'!I4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'Summary'!$H$5:$H$7</f>
            </numRef>
          </cat>
          <val>
            <numRef>
              <f>'Summary'!$I$5:$I$7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Severity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9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InsightData" displayName="InsightData" ref="A1:M7" headerRowCount="1">
  <autoFilter ref="A1:M7"/>
  <tableColumns count="13">
    <tableColumn id="1" name="Entity"/>
    <tableColumn id="2" name="Account"/>
    <tableColumn id="3" name="Actual"/>
    <tableColumn id="4" name="Forecast"/>
    <tableColumn id="5" name="Prior 1"/>
    <tableColumn id="6" name="Prior 2"/>
    <tableColumn id="7" name="Variance"/>
    <tableColumn id="8" name="Var %"/>
    <tableColumn id="9" name="Trend"/>
    <tableColumn id="10" name="Pattern"/>
    <tableColumn id="11" name="Severity"/>
    <tableColumn id="12" name="Narrative Message"/>
    <tableColumn id="13" name="Recommended 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40" customWidth="1" min="3" max="3"/>
  </cols>
  <sheetData>
    <row r="1">
      <c r="A1" s="1" t="inlineStr">
        <is>
          <t>Control</t>
        </is>
      </c>
      <c r="B1" s="1" t="inlineStr">
        <is>
          <t>Value</t>
        </is>
      </c>
      <c r="C1" s="1" t="inlineStr">
        <is>
          <t>Purpose</t>
        </is>
      </c>
    </row>
    <row r="2">
      <c r="A2" s="2" t="inlineStr">
        <is>
          <t>High Variance Threshold</t>
        </is>
      </c>
      <c r="B2" s="3" t="n">
        <v>0.15</v>
      </c>
      <c r="C2" t="inlineStr">
        <is>
          <t>Flags severe exceptions</t>
        </is>
      </c>
    </row>
    <row r="3">
      <c r="A3" s="2" t="inlineStr">
        <is>
          <t>Medium Variance Threshold</t>
        </is>
      </c>
      <c r="B3" s="3" t="n">
        <v>0.08</v>
      </c>
      <c r="C3" t="inlineStr">
        <is>
          <t>Flags medium exceptions</t>
        </is>
      </c>
    </row>
    <row r="4">
      <c r="A4" s="2" t="inlineStr">
        <is>
          <t>Low Variance Threshold</t>
        </is>
      </c>
      <c r="B4" s="3" t="n">
        <v>0.03</v>
      </c>
      <c r="C4" t="inlineStr">
        <is>
          <t>Flags low exceptions</t>
        </is>
      </c>
    </row>
    <row r="5">
      <c r="A5" s="2" t="inlineStr">
        <is>
          <t>Trend Periods</t>
        </is>
      </c>
      <c r="B5" s="4" t="n">
        <v>3</v>
      </c>
      <c r="C5" t="inlineStr">
        <is>
          <t>Lookback window for patterns</t>
        </is>
      </c>
    </row>
    <row r="7">
      <c r="A7" s="5" t="inlineStr">
        <is>
          <t>Pattern logic</t>
        </is>
      </c>
      <c r="B7" t="inlineStr">
        <is>
          <t>Uses variance thresholds plus 3-period trend direction.</t>
        </is>
      </c>
    </row>
    <row r="8">
      <c r="A8" s="5" t="inlineStr">
        <is>
          <t>Severity logic</t>
        </is>
      </c>
      <c r="B8" t="inlineStr">
        <is>
          <t>High &gt;= high threshold, Medium &gt;= medium threshold, Low &gt;= low threshold.</t>
        </is>
      </c>
    </row>
    <row r="9">
      <c r="A9" t="inlineStr">
        <is>
          <t>Generated On</t>
        </is>
      </c>
      <c r="B9" t="inlineStr">
        <is>
          <t>2026-04-21T11:45:21</t>
        </is>
      </c>
      <c r="C9" t="inlineStr">
        <is>
          <t>Report generation timestamp</t>
        </is>
      </c>
    </row>
    <row r="10">
      <c r="A10" t="inlineStr">
        <is>
          <t>Dimension Count</t>
        </is>
      </c>
      <c r="B10" t="n">
        <v>9</v>
      </c>
      <c r="C10" t="inlineStr">
        <is>
          <t>Dimensions discovered in environment</t>
        </is>
      </c>
    </row>
    <row r="11">
      <c r="A11" t="inlineStr">
        <is>
          <t>Dimensions</t>
        </is>
      </c>
      <c r="B11" t="inlineStr">
        <is>
          <t>Measures, Period, Years, Scenario, Version, Entity, UoM, LOB, Analysis</t>
        </is>
      </c>
      <c r="C11" t="inlineStr">
        <is>
          <t>Discovered dimensions</t>
        </is>
      </c>
    </row>
    <row r="12">
      <c r="A12" t="inlineStr">
        <is>
          <t>Generated On</t>
        </is>
      </c>
      <c r="B12" t="inlineStr">
        <is>
          <t>2026-04-27T15:35:32</t>
        </is>
      </c>
      <c r="C12" t="inlineStr">
        <is>
          <t>Report generation timestamp</t>
        </is>
      </c>
    </row>
    <row r="13">
      <c r="A13" t="inlineStr">
        <is>
          <t>Dimension Count</t>
        </is>
      </c>
      <c r="B13" t="n">
        <v>11</v>
      </c>
      <c r="C13" t="inlineStr">
        <is>
          <t>Dimensions discovered in environment</t>
        </is>
      </c>
    </row>
    <row r="14">
      <c r="A14" t="inlineStr">
        <is>
          <t>Dimensions</t>
        </is>
      </c>
      <c r="B14" t="inlineStr">
        <is>
          <t>Measures, Period, Years, Scenario, Version, Entity, Location, UoM, LOB, Energy Type, Location Type</t>
        </is>
      </c>
      <c r="C14" t="inlineStr">
        <is>
          <t>Discovered dimensions</t>
        </is>
      </c>
    </row>
    <row r="15">
      <c r="A15" t="inlineStr">
        <is>
          <t>Severity Logic</t>
        </is>
      </c>
      <c r="B15" t="inlineStr">
        <is>
          <t>High &gt;= 20%, Medium &gt;= 10%, else Low</t>
        </is>
      </c>
      <c r="C15" t="inlineStr">
        <is>
          <t>Threshold rule</t>
        </is>
      </c>
    </row>
    <row r="16">
      <c r="A16" t="inlineStr">
        <is>
          <t>Trend Logic</t>
        </is>
      </c>
      <c r="B16" t="inlineStr">
        <is>
          <t>Up: Actual&gt;Forecast, Down: Actual&lt;Forecast, Flat: equal</t>
        </is>
      </c>
      <c r="C16" t="inlineStr">
        <is>
          <t>Trend rule</t>
        </is>
      </c>
    </row>
    <row r="17">
      <c r="A17" t="inlineStr">
        <is>
          <t>Pattern Logic</t>
        </is>
      </c>
      <c r="B17" t="inlineStr">
        <is>
          <t>Stable if |Var %| &lt; 5 else Deviation</t>
        </is>
      </c>
      <c r="C17" t="inlineStr">
        <is>
          <t>Pattern rule</t>
        </is>
      </c>
    </row>
    <row r="18">
      <c r="A18" t="inlineStr">
        <is>
          <t>Note</t>
        </is>
      </c>
      <c r="B18" t="inlineStr">
        <is>
          <t>Entity L0 descendants under parent 'DO NOT USE': 1</t>
        </is>
      </c>
      <c r="C18" t="inlineStr">
        <is>
          <t>Generation note</t>
        </is>
      </c>
    </row>
    <row r="19">
      <c r="A19" t="inlineStr">
        <is>
          <t>Note</t>
        </is>
      </c>
      <c r="B19" t="inlineStr">
        <is>
          <t>Measures L0 descendants under parent 'Profit and Loss Statement': 18</t>
        </is>
      </c>
      <c r="C19" t="inlineStr">
        <is>
          <t>Generation note</t>
        </is>
      </c>
    </row>
    <row r="20">
      <c r="A20" t="inlineStr">
        <is>
          <t>Note</t>
        </is>
      </c>
      <c r="B20" t="inlineStr">
        <is>
          <t>Periods used: ['FSC1', 'FSC2']</t>
        </is>
      </c>
      <c r="C20" t="inlineStr">
        <is>
          <t>Generation note</t>
        </is>
      </c>
    </row>
    <row r="21">
      <c r="A21" t="inlineStr">
        <is>
          <t>Note</t>
        </is>
      </c>
      <c r="B21" t="inlineStr">
        <is>
          <t>Scenarios filter: ['Actual', 'Forecast']</t>
        </is>
      </c>
      <c r="C21" t="inlineStr">
        <is>
          <t>Generation note</t>
        </is>
      </c>
    </row>
    <row r="22">
      <c r="A22" t="inlineStr">
        <is>
          <t>Note</t>
        </is>
      </c>
      <c r="B22" t="inlineStr">
        <is>
          <t>Years filter: ['FY26']</t>
        </is>
      </c>
      <c r="C22" t="inlineStr">
        <is>
          <t>Generation note</t>
        </is>
      </c>
    </row>
    <row r="23">
      <c r="A23" t="inlineStr">
        <is>
          <t>Note</t>
        </is>
      </c>
      <c r="B23" t="inlineStr">
        <is>
          <t>Forecast years fetched (incl priors): ['FY26', 'FY25', 'FY24']</t>
        </is>
      </c>
      <c r="C23" t="inlineStr">
        <is>
          <t>Generation note</t>
        </is>
      </c>
    </row>
    <row r="24">
      <c r="A24" t="inlineStr">
        <is>
          <t>Note</t>
        </is>
      </c>
      <c r="B24" t="inlineStr">
        <is>
          <t>Actual version filter: ['Sample_Actual']</t>
        </is>
      </c>
      <c r="C24" t="inlineStr">
        <is>
          <t>Generation note</t>
        </is>
      </c>
    </row>
    <row r="25">
      <c r="A25" t="inlineStr">
        <is>
          <t>Note</t>
        </is>
      </c>
      <c r="B25" t="inlineStr">
        <is>
          <t>Forecast version filter: ['Sample_Plan']</t>
        </is>
      </c>
      <c r="C25" t="inlineStr">
        <is>
          <t>Generation note</t>
        </is>
      </c>
    </row>
    <row r="26">
      <c r="A26" t="inlineStr">
        <is>
          <t>Note</t>
        </is>
      </c>
      <c r="B26" t="inlineStr">
        <is>
          <t>POV overrides: {'Location': 'Total_Location_Input', 'UoM': 'No UOM', 'LOB': 'No LOB', 'Energy Type': 'Pollutant 1'}</t>
        </is>
      </c>
      <c r="C26" t="inlineStr">
        <is>
          <t>Generation note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  <col width="10" customWidth="1" min="11" max="11"/>
    <col width="54" customWidth="1" min="12" max="12"/>
    <col width="32" customWidth="1" min="13" max="13"/>
  </cols>
  <sheetData>
    <row r="1">
      <c r="A1" s="6" t="inlineStr">
        <is>
          <t>Entity</t>
        </is>
      </c>
      <c r="B1" s="6" t="inlineStr">
        <is>
          <t>Account</t>
        </is>
      </c>
      <c r="C1" s="6" t="inlineStr">
        <is>
          <t>Actual</t>
        </is>
      </c>
      <c r="D1" s="6" t="inlineStr">
        <is>
          <t>Forecast</t>
        </is>
      </c>
      <c r="E1" s="6" t="inlineStr">
        <is>
          <t>Prior 1</t>
        </is>
      </c>
      <c r="F1" s="6" t="inlineStr">
        <is>
          <t>Prior 2</t>
        </is>
      </c>
      <c r="G1" s="6" t="inlineStr">
        <is>
          <t>Variance</t>
        </is>
      </c>
      <c r="H1" s="6" t="inlineStr">
        <is>
          <t>Var %</t>
        </is>
      </c>
      <c r="I1" s="6" t="inlineStr">
        <is>
          <t>Trend</t>
        </is>
      </c>
      <c r="J1" s="6" t="inlineStr">
        <is>
          <t>Pattern</t>
        </is>
      </c>
      <c r="K1" s="6" t="inlineStr">
        <is>
          <t>Severity</t>
        </is>
      </c>
      <c r="L1" s="6" t="inlineStr">
        <is>
          <t>Narrative Message</t>
        </is>
      </c>
      <c r="M1" s="6" t="inlineStr">
        <is>
          <t>Recommended Action</t>
        </is>
      </c>
    </row>
    <row r="2">
      <c r="A2" t="inlineStr">
        <is>
          <t>Australia &amp; New Zealand</t>
        </is>
      </c>
      <c r="B2" t="inlineStr">
        <is>
          <t>Software Revenue</t>
        </is>
      </c>
      <c r="C2" t="n">
        <v>30450</v>
      </c>
      <c r="D2" t="n">
        <v>45928.05</v>
      </c>
      <c r="E2" t="n">
        <v>0</v>
      </c>
      <c r="F2" t="n">
        <v>0</v>
      </c>
      <c r="G2" t="n">
        <v>-15478.05</v>
      </c>
      <c r="H2" t="n">
        <v>-33.7</v>
      </c>
      <c r="I2" t="inlineStr">
        <is>
          <t>Down</t>
        </is>
      </c>
      <c r="J2" t="inlineStr">
        <is>
          <t>Deviation</t>
        </is>
      </c>
      <c r="K2" t="inlineStr">
        <is>
          <t>High</t>
        </is>
      </c>
      <c r="L2" t="inlineStr">
        <is>
          <t>Software Revenue in LE_ANZ is -33.7% below forecast.</t>
        </is>
      </c>
      <c r="M2" t="inlineStr">
        <is>
          <t>Review drivers and adjust forecast assumptions.</t>
        </is>
      </c>
    </row>
    <row r="3">
      <c r="A3" t="inlineStr">
        <is>
          <t>Australia &amp; New Zealand</t>
        </is>
      </c>
      <c r="B3" t="inlineStr">
        <is>
          <t>Hardware Revenue</t>
        </is>
      </c>
      <c r="C3" t="n">
        <v>40600</v>
      </c>
      <c r="D3" t="n">
        <v>53481.34</v>
      </c>
      <c r="E3" t="n">
        <v>0</v>
      </c>
      <c r="F3" t="n">
        <v>0</v>
      </c>
      <c r="G3" t="n">
        <v>-12881.34</v>
      </c>
      <c r="H3" t="n">
        <v>-24.09</v>
      </c>
      <c r="I3" t="inlineStr">
        <is>
          <t>Down</t>
        </is>
      </c>
      <c r="J3" t="inlineStr">
        <is>
          <t>Deviation</t>
        </is>
      </c>
      <c r="K3" t="inlineStr">
        <is>
          <t>High</t>
        </is>
      </c>
      <c r="L3" t="inlineStr">
        <is>
          <t>Hardware Revenue in LE_ANZ is -24.1% below forecast.</t>
        </is>
      </c>
      <c r="M3" t="inlineStr">
        <is>
          <t>Review drivers and adjust forecast assumptions.</t>
        </is>
      </c>
    </row>
    <row r="4">
      <c r="A4" t="inlineStr">
        <is>
          <t>Australia &amp; New Zealand</t>
        </is>
      </c>
      <c r="B4" t="inlineStr">
        <is>
          <t>Product Revenue</t>
        </is>
      </c>
      <c r="C4" t="n">
        <v>37040</v>
      </c>
      <c r="D4" t="n">
        <v>48064.50999999999</v>
      </c>
      <c r="E4" t="n">
        <v>0</v>
      </c>
      <c r="F4" t="n">
        <v>0</v>
      </c>
      <c r="G4" t="n">
        <v>-11024.50999999999</v>
      </c>
      <c r="H4" t="n">
        <v>-22.94</v>
      </c>
      <c r="I4" t="inlineStr">
        <is>
          <t>Down</t>
        </is>
      </c>
      <c r="J4" t="inlineStr">
        <is>
          <t>Deviation</t>
        </is>
      </c>
      <c r="K4" t="inlineStr">
        <is>
          <t>High</t>
        </is>
      </c>
      <c r="L4" t="inlineStr">
        <is>
          <t>Product Revenue in LE_ANZ is -22.9% below forecast.</t>
        </is>
      </c>
      <c r="M4" t="inlineStr">
        <is>
          <t>Review drivers and adjust forecast assumptions.</t>
        </is>
      </c>
    </row>
    <row r="5">
      <c r="A5" t="inlineStr">
        <is>
          <t>Australia &amp; New Zealand</t>
        </is>
      </c>
      <c r="B5" t="inlineStr">
        <is>
          <t>Non-operating expenses, net</t>
        </is>
      </c>
      <c r="C5" t="n">
        <v>47503.8</v>
      </c>
      <c r="D5" t="n">
        <v>40555.35000000001</v>
      </c>
      <c r="E5" t="n">
        <v>0</v>
      </c>
      <c r="F5" t="n">
        <v>0</v>
      </c>
      <c r="G5" t="n">
        <v>6948.449999999997</v>
      </c>
      <c r="H5" t="n">
        <v>17.13</v>
      </c>
      <c r="I5" t="inlineStr">
        <is>
          <t>Up</t>
        </is>
      </c>
      <c r="J5" t="inlineStr">
        <is>
          <t>Deviation</t>
        </is>
      </c>
      <c r="K5" t="inlineStr">
        <is>
          <t>Medium</t>
        </is>
      </c>
      <c r="L5" t="inlineStr">
        <is>
          <t>Non-operating expenses, net in LE_ANZ is 17.1% above forecast.</t>
        </is>
      </c>
      <c r="M5" t="inlineStr">
        <is>
          <t>Review drivers and adjust forecast assumptions.</t>
        </is>
      </c>
    </row>
    <row r="6">
      <c r="A6" t="inlineStr">
        <is>
          <t>Australia &amp; New Zealand</t>
        </is>
      </c>
      <c r="B6" t="inlineStr">
        <is>
          <t>Dierct Cost of Sale</t>
        </is>
      </c>
      <c r="C6" t="n">
        <v>64960</v>
      </c>
      <c r="D6" t="n">
        <v>73294.84</v>
      </c>
      <c r="E6" t="n">
        <v>0</v>
      </c>
      <c r="F6" t="n">
        <v>0</v>
      </c>
      <c r="G6" t="n">
        <v>-8334.839999999997</v>
      </c>
      <c r="H6" t="n">
        <v>-11.37</v>
      </c>
      <c r="I6" t="inlineStr">
        <is>
          <t>Down</t>
        </is>
      </c>
      <c r="J6" t="inlineStr">
        <is>
          <t>Deviation</t>
        </is>
      </c>
      <c r="K6" t="inlineStr">
        <is>
          <t>Medium</t>
        </is>
      </c>
      <c r="L6" t="inlineStr">
        <is>
          <t>Dierct Cost of Sale in LE_ANZ is -11.4% below forecast.</t>
        </is>
      </c>
      <c r="M6" t="inlineStr">
        <is>
          <t>Review drivers and adjust forecast assumptions.</t>
        </is>
      </c>
    </row>
    <row r="7">
      <c r="A7" t="inlineStr">
        <is>
          <t>Australia &amp; New Zealand</t>
        </is>
      </c>
      <c r="B7" t="inlineStr">
        <is>
          <t>Interest expense</t>
        </is>
      </c>
      <c r="C7" t="n">
        <v>37300.032</v>
      </c>
      <c r="D7" t="n">
        <v>35664.69</v>
      </c>
      <c r="E7" t="n">
        <v>0</v>
      </c>
      <c r="F7" t="n">
        <v>0</v>
      </c>
      <c r="G7" t="n">
        <v>1635.341999999997</v>
      </c>
      <c r="H7" t="n">
        <v>4.59</v>
      </c>
      <c r="I7" t="inlineStr">
        <is>
          <t>Up</t>
        </is>
      </c>
      <c r="J7" t="inlineStr">
        <is>
          <t>Stable</t>
        </is>
      </c>
      <c r="K7" t="inlineStr">
        <is>
          <t>Low</t>
        </is>
      </c>
      <c r="L7" t="inlineStr">
        <is>
          <t>Interest expense in LE_ANZ is 4.6% above forecast.</t>
        </is>
      </c>
      <c r="M7" t="inlineStr">
        <is>
          <t>Review drivers and adjust forecast assumptions.</t>
        </is>
      </c>
    </row>
    <row r="8">
      <c r="A8" t="inlineStr">
        <is>
          <t>Australia &amp; New Zealand</t>
        </is>
      </c>
      <c r="B8" t="inlineStr">
        <is>
          <t>Restructuring costs</t>
        </is>
      </c>
      <c r="C8" t="n">
        <v>2030</v>
      </c>
      <c r="D8" t="n">
        <v>1955.43</v>
      </c>
      <c r="E8" t="n">
        <v>0</v>
      </c>
      <c r="F8" t="n">
        <v>0</v>
      </c>
      <c r="G8" t="n">
        <v>74.57000000000016</v>
      </c>
      <c r="H8" t="n">
        <v>3.81</v>
      </c>
      <c r="I8" t="inlineStr">
        <is>
          <t>Up</t>
        </is>
      </c>
      <c r="J8" t="inlineStr">
        <is>
          <t>Stable</t>
        </is>
      </c>
      <c r="K8" t="inlineStr">
        <is>
          <t>Low</t>
        </is>
      </c>
      <c r="L8" t="inlineStr">
        <is>
          <t>Restructuring costs in LE_ANZ is 3.8% above forecast.</t>
        </is>
      </c>
      <c r="M8" t="inlineStr">
        <is>
          <t>Review drivers and adjust forecast assumptions.</t>
        </is>
      </c>
    </row>
    <row r="9">
      <c r="A9" t="inlineStr">
        <is>
          <t>Australia &amp; New Zealand</t>
        </is>
      </c>
      <c r="B9" t="inlineStr">
        <is>
          <t>Services Revenue</t>
        </is>
      </c>
      <c r="C9" t="n">
        <v>34510</v>
      </c>
      <c r="D9" t="n">
        <v>35804.17999999999</v>
      </c>
      <c r="E9" t="n">
        <v>0</v>
      </c>
      <c r="F9" t="n">
        <v>0</v>
      </c>
      <c r="G9" t="n">
        <v>-1294.179999999993</v>
      </c>
      <c r="H9" t="n">
        <v>-3.61</v>
      </c>
      <c r="I9" t="inlineStr">
        <is>
          <t>Down</t>
        </is>
      </c>
      <c r="J9" t="inlineStr">
        <is>
          <t>Stable</t>
        </is>
      </c>
      <c r="K9" t="inlineStr">
        <is>
          <t>Low</t>
        </is>
      </c>
      <c r="L9" t="inlineStr">
        <is>
          <t>Services Revenue in LE_ANZ is -3.6% below forecast.</t>
        </is>
      </c>
      <c r="M9" t="inlineStr">
        <is>
          <t>Review drivers and adjust forecast assumptions.</t>
        </is>
      </c>
    </row>
    <row r="10">
      <c r="A10" t="inlineStr">
        <is>
          <t>Australia &amp; New Zealand</t>
        </is>
      </c>
      <c r="B10" t="inlineStr">
        <is>
          <t>Services costs</t>
        </is>
      </c>
      <c r="C10" t="n">
        <v>14210</v>
      </c>
      <c r="D10" t="n">
        <v>13765.39</v>
      </c>
      <c r="E10" t="n">
        <v>0</v>
      </c>
      <c r="F10" t="n">
        <v>0</v>
      </c>
      <c r="G10" t="n">
        <v>444.6100000000006</v>
      </c>
      <c r="H10" t="n">
        <v>3.23</v>
      </c>
      <c r="I10" t="inlineStr">
        <is>
          <t>Up</t>
        </is>
      </c>
      <c r="J10" t="inlineStr">
        <is>
          <t>Stable</t>
        </is>
      </c>
      <c r="K10" t="inlineStr">
        <is>
          <t>Low</t>
        </is>
      </c>
      <c r="L10" t="inlineStr">
        <is>
          <t>Services costs in LE_ANZ is 3.2% above forecast.</t>
        </is>
      </c>
      <c r="M10" t="inlineStr">
        <is>
          <t>Review drivers and adjust forecast assumptions.</t>
        </is>
      </c>
    </row>
    <row r="11">
      <c r="A11" t="inlineStr">
        <is>
          <t>Australia &amp; New Zealand</t>
        </is>
      </c>
      <c r="B11" t="inlineStr">
        <is>
          <t>Sales and Marketing costs</t>
        </is>
      </c>
      <c r="C11" t="n">
        <v>18270</v>
      </c>
      <c r="D11" t="n">
        <v>18874.29</v>
      </c>
      <c r="E11" t="n">
        <v>0</v>
      </c>
      <c r="F11" t="n">
        <v>0</v>
      </c>
      <c r="G11" t="n">
        <v>-604.2900000000009</v>
      </c>
      <c r="H11" t="n">
        <v>-3.2</v>
      </c>
      <c r="I11" t="inlineStr">
        <is>
          <t>Down</t>
        </is>
      </c>
      <c r="J11" t="inlineStr">
        <is>
          <t>Stable</t>
        </is>
      </c>
      <c r="K11" t="inlineStr">
        <is>
          <t>Low</t>
        </is>
      </c>
      <c r="L11" t="inlineStr">
        <is>
          <t>Sales and Marketing costs in LE_ANZ is -3.2% below forecast.</t>
        </is>
      </c>
      <c r="M11" t="inlineStr">
        <is>
          <t>Review drivers and adjust forecast assumptions.</t>
        </is>
      </c>
    </row>
    <row r="12">
      <c r="A12" t="inlineStr">
        <is>
          <t>Australia &amp; New Zealand</t>
        </is>
      </c>
      <c r="B12" t="inlineStr">
        <is>
          <t>Acquisition related and other costs</t>
        </is>
      </c>
      <c r="C12" t="n">
        <v>3045</v>
      </c>
      <c r="D12" t="n">
        <v>3017.71</v>
      </c>
      <c r="E12" t="n">
        <v>0</v>
      </c>
      <c r="F12" t="n">
        <v>0</v>
      </c>
      <c r="G12" t="n">
        <v>27.28999999999996</v>
      </c>
      <c r="H12" t="n">
        <v>0.9</v>
      </c>
      <c r="I12" t="inlineStr">
        <is>
          <t>Up</t>
        </is>
      </c>
      <c r="J12" t="inlineStr">
        <is>
          <t>Stable</t>
        </is>
      </c>
      <c r="K12" t="inlineStr">
        <is>
          <t>Low</t>
        </is>
      </c>
      <c r="L12" t="inlineStr">
        <is>
          <t>Acquisition related and other costs in LE_ANZ is 0.9% above forecast.</t>
        </is>
      </c>
      <c r="M12" t="inlineStr">
        <is>
          <t>Review drivers and adjust forecast assumptions.</t>
        </is>
      </c>
    </row>
    <row r="13">
      <c r="A13" t="inlineStr">
        <is>
          <t>Australia &amp; New Zealand</t>
        </is>
      </c>
      <c r="B13" t="inlineStr">
        <is>
          <t>Other comprehensive (loss) income</t>
        </is>
      </c>
      <c r="C13" t="n">
        <v>28679.65</v>
      </c>
      <c r="D13" t="n">
        <v>28938.01</v>
      </c>
      <c r="E13" t="n">
        <v>0</v>
      </c>
      <c r="F13" t="n">
        <v>0</v>
      </c>
      <c r="G13" t="n">
        <v>-258.3600000000006</v>
      </c>
      <c r="H13" t="n">
        <v>-0.89</v>
      </c>
      <c r="I13" t="inlineStr">
        <is>
          <t>Down</t>
        </is>
      </c>
      <c r="J13" t="inlineStr">
        <is>
          <t>Stable</t>
        </is>
      </c>
      <c r="K13" t="inlineStr">
        <is>
          <t>Low</t>
        </is>
      </c>
      <c r="L13" t="inlineStr">
        <is>
          <t>Other comprehensive (loss) income in LE_ANZ is -0.9% below forecast.</t>
        </is>
      </c>
      <c r="M13" t="inlineStr">
        <is>
          <t>Review drivers and adjust forecast assumptions.</t>
        </is>
      </c>
    </row>
    <row r="14">
      <c r="A14" t="inlineStr">
        <is>
          <t>Australia &amp; New Zealand</t>
        </is>
      </c>
      <c r="B14" t="inlineStr">
        <is>
          <t>Benefit from (provision for) income taxes</t>
        </is>
      </c>
      <c r="C14" t="n">
        <v>37006</v>
      </c>
      <c r="D14" t="n">
        <v>37272.39</v>
      </c>
      <c r="E14" t="n">
        <v>0</v>
      </c>
      <c r="F14" t="n">
        <v>0</v>
      </c>
      <c r="G14" t="n">
        <v>-266.3899999999994</v>
      </c>
      <c r="H14" t="n">
        <v>-0.71</v>
      </c>
      <c r="I14" t="inlineStr">
        <is>
          <t>Down</t>
        </is>
      </c>
      <c r="J14" t="inlineStr">
        <is>
          <t>Stable</t>
        </is>
      </c>
      <c r="K14" t="inlineStr">
        <is>
          <t>Low</t>
        </is>
      </c>
      <c r="L14" t="inlineStr">
        <is>
          <t>Benefit from (provision for) income taxes in LE_ANZ is -0.7% below forecast.</t>
        </is>
      </c>
      <c r="M14" t="inlineStr">
        <is>
          <t>Review drivers and adjust forecast assumptions.</t>
        </is>
      </c>
    </row>
    <row r="15">
      <c r="A15" t="inlineStr">
        <is>
          <t>Australia &amp; New Zealand</t>
        </is>
      </c>
      <c r="B15" t="inlineStr">
        <is>
          <t>Hardware costs</t>
        </is>
      </c>
      <c r="C15" t="n">
        <v>28420</v>
      </c>
      <c r="D15" t="n">
        <v>28593.32</v>
      </c>
      <c r="E15" t="n">
        <v>0</v>
      </c>
      <c r="F15" t="n">
        <v>0</v>
      </c>
      <c r="G15" t="n">
        <v>-173.3199999999997</v>
      </c>
      <c r="H15" t="n">
        <v>-0.61</v>
      </c>
      <c r="I15" t="inlineStr">
        <is>
          <t>Down</t>
        </is>
      </c>
      <c r="J15" t="inlineStr">
        <is>
          <t>Stable</t>
        </is>
      </c>
      <c r="K15" t="inlineStr">
        <is>
          <t>Low</t>
        </is>
      </c>
      <c r="L15" t="inlineStr">
        <is>
          <t>Hardware costs in LE_ANZ is -0.6% below forecast.</t>
        </is>
      </c>
      <c r="M15" t="inlineStr">
        <is>
          <t>Review drivers and adjust forecast assumptions.</t>
        </is>
      </c>
    </row>
    <row r="16">
      <c r="A16" t="inlineStr">
        <is>
          <t>Australia &amp; New Zealand</t>
        </is>
      </c>
      <c r="B16" t="inlineStr">
        <is>
          <t>Amortization of intangible assets</t>
        </is>
      </c>
      <c r="C16" t="n">
        <v>4060</v>
      </c>
      <c r="D16" t="n">
        <v>4068.63</v>
      </c>
      <c r="E16" t="n">
        <v>0</v>
      </c>
      <c r="F16" t="n">
        <v>0</v>
      </c>
      <c r="G16" t="n">
        <v>-8.630000000000109</v>
      </c>
      <c r="H16" t="n">
        <v>-0.21</v>
      </c>
      <c r="I16" t="inlineStr">
        <is>
          <t>Down</t>
        </is>
      </c>
      <c r="J16" t="inlineStr">
        <is>
          <t>Stable</t>
        </is>
      </c>
      <c r="K16" t="inlineStr">
        <is>
          <t>Low</t>
        </is>
      </c>
      <c r="L16" t="inlineStr">
        <is>
          <t>Amortization of intangible assets in LE_ANZ is -0.2% below forecast.</t>
        </is>
      </c>
      <c r="M16" t="inlineStr">
        <is>
          <t>Review drivers and adjust forecast assumptions.</t>
        </is>
      </c>
    </row>
    <row r="17">
      <c r="A17" t="inlineStr">
        <is>
          <t>Australia &amp; New Zealand</t>
        </is>
      </c>
      <c r="B17" t="inlineStr">
        <is>
          <t>General and administrative costs</t>
        </is>
      </c>
      <c r="C17" t="n">
        <v>12180</v>
      </c>
      <c r="D17" t="n">
        <v>12156.49</v>
      </c>
      <c r="E17" t="n">
        <v>0</v>
      </c>
      <c r="F17" t="n">
        <v>0</v>
      </c>
      <c r="G17" t="n">
        <v>23.51000000000022</v>
      </c>
      <c r="H17" t="n">
        <v>0.19</v>
      </c>
      <c r="I17" t="inlineStr">
        <is>
          <t>Up</t>
        </is>
      </c>
      <c r="J17" t="inlineStr">
        <is>
          <t>Stable</t>
        </is>
      </c>
      <c r="K17" t="inlineStr">
        <is>
          <t>Low</t>
        </is>
      </c>
      <c r="L17" t="inlineStr">
        <is>
          <t>General and administrative costs in LE_ANZ is 0.2% above forecast.</t>
        </is>
      </c>
      <c r="M17" t="inlineStr">
        <is>
          <t>Review drivers and adjust forecast assumptions.</t>
        </is>
      </c>
    </row>
    <row r="18">
      <c r="A18" t="inlineStr">
        <is>
          <t>Australia &amp; New Zealand</t>
        </is>
      </c>
      <c r="B18" t="inlineStr">
        <is>
          <t>Research and development costs</t>
        </is>
      </c>
      <c r="C18" t="n">
        <v>16240</v>
      </c>
      <c r="D18" t="n">
        <v>16233.07</v>
      </c>
      <c r="E18" t="n">
        <v>0</v>
      </c>
      <c r="F18" t="n">
        <v>0</v>
      </c>
      <c r="G18" t="n">
        <v>6.930000000000291</v>
      </c>
      <c r="H18" t="n">
        <v>0.04</v>
      </c>
      <c r="I18" t="inlineStr">
        <is>
          <t>Up</t>
        </is>
      </c>
      <c r="J18" t="inlineStr">
        <is>
          <t>Stable</t>
        </is>
      </c>
      <c r="K18" t="inlineStr">
        <is>
          <t>Low</t>
        </is>
      </c>
      <c r="L18" t="inlineStr">
        <is>
          <t>Research and development costs in LE_ANZ is 0.0% above forecast.</t>
        </is>
      </c>
      <c r="M18" t="inlineStr">
        <is>
          <t>Review drivers and adjust forecast assumptions.</t>
        </is>
      </c>
    </row>
    <row r="19">
      <c r="A19" t="inlineStr">
        <is>
          <t>Australia &amp; New Zealand</t>
        </is>
      </c>
      <c r="B19" t="inlineStr">
        <is>
          <t>Operating Margin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inlineStr">
        <is>
          <t>Flat</t>
        </is>
      </c>
      <c r="J19" t="inlineStr">
        <is>
          <t>Stable</t>
        </is>
      </c>
      <c r="K19" t="inlineStr">
        <is>
          <t>Low</t>
        </is>
      </c>
      <c r="L19" t="inlineStr">
        <is>
          <t>Operating Margin in LE_ANZ is 0.0% above forecast.</t>
        </is>
      </c>
      <c r="M19" t="inlineStr">
        <is>
          <t>Review drivers and adjust forecast assumptions.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0" customWidth="1" min="4" max="4"/>
    <col width="14" customWidth="1" min="5" max="5"/>
    <col width="14" customWidth="1" min="8" max="8"/>
    <col width="12" customWidth="1" min="9" max="9"/>
  </cols>
  <sheetData>
    <row r="1">
      <c r="A1" s="13" t="inlineStr">
        <is>
          <t>EPM Actual vs Forecast Insight Summary</t>
        </is>
      </c>
    </row>
    <row r="2">
      <c r="A2" s="14" t="inlineStr">
        <is>
          <t>Generated from the Data sheet using formulas.</t>
        </is>
      </c>
    </row>
    <row r="3">
      <c r="A3" t="inlineStr">
        <is>
          <t>Total Insight Rows</t>
        </is>
      </c>
      <c r="B3" t="n">
        <v>18</v>
      </c>
    </row>
    <row r="4">
      <c r="A4" s="15" t="inlineStr">
        <is>
          <t>High Severity Count</t>
        </is>
      </c>
      <c r="B4" s="16" t="n">
        <v>3</v>
      </c>
      <c r="D4" s="17" t="inlineStr">
        <is>
          <t>Top Patterns</t>
        </is>
      </c>
      <c r="H4" s="17" t="inlineStr">
        <is>
          <t>Severity</t>
        </is>
      </c>
      <c r="I4" s="17" t="inlineStr">
        <is>
          <t>Count</t>
        </is>
      </c>
    </row>
    <row r="5">
      <c r="A5" s="15" t="inlineStr">
        <is>
          <t>Medium Severity Count</t>
        </is>
      </c>
      <c r="B5" s="16" t="n">
        <v>2</v>
      </c>
      <c r="D5" s="5" t="inlineStr">
        <is>
          <t>Sustained upside</t>
        </is>
      </c>
      <c r="E5" s="11">
        <f>COUNTIF(Data!J2:J7,"Sustained upside")</f>
        <v/>
      </c>
      <c r="H5" t="inlineStr">
        <is>
          <t>High</t>
        </is>
      </c>
      <c r="I5">
        <f>COUNTIF(Data!K2:K7,H5)</f>
        <v/>
      </c>
    </row>
    <row r="6">
      <c r="A6" s="15" t="inlineStr">
        <is>
          <t>Low Severity Count</t>
        </is>
      </c>
      <c r="B6" s="16" t="n">
        <v>13</v>
      </c>
      <c r="D6" s="5" t="inlineStr">
        <is>
          <t>Sustained downside</t>
        </is>
      </c>
      <c r="E6" s="11">
        <f>COUNTIF(Data!J2:J7,"Sustained downside")</f>
        <v/>
      </c>
      <c r="H6" t="inlineStr">
        <is>
          <t>Medium</t>
        </is>
      </c>
      <c r="I6">
        <f>COUNTIF(Data!K2:K7,H6)</f>
        <v/>
      </c>
    </row>
    <row r="7">
      <c r="A7" s="15" t="inlineStr">
        <is>
          <t>Avg Var %</t>
        </is>
      </c>
      <c r="B7" s="18" t="n">
        <v>-3.97</v>
      </c>
      <c r="D7" s="5" t="inlineStr">
        <is>
          <t>Forecast bias</t>
        </is>
      </c>
      <c r="E7" s="11">
        <f>COUNTIF(Data!J2:J7,"Forecast bias")</f>
        <v/>
      </c>
      <c r="H7" t="inlineStr">
        <is>
          <t>Low</t>
        </is>
      </c>
      <c r="I7">
        <f>COUNTIF(Data!K2:K7,H7)</f>
        <v/>
      </c>
    </row>
    <row r="8">
      <c r="A8" s="15" t="inlineStr">
        <is>
          <t>Max |Var %|</t>
        </is>
      </c>
      <c r="B8" s="19" t="n">
        <v>33.7</v>
      </c>
      <c r="D8" s="5" t="inlineStr">
        <is>
          <t>Outlier</t>
        </is>
      </c>
      <c r="E8" s="11">
        <f>COUNTIF(Data!J2:J7,"Outlier")</f>
        <v/>
      </c>
    </row>
    <row r="9">
      <c r="A9" s="15" t="inlineStr">
        <is>
          <t>Medium Severity</t>
        </is>
      </c>
      <c r="B9" s="19">
        <f>COUNTIF(Data!K2:K7,"Medium")</f>
        <v/>
      </c>
    </row>
    <row r="10">
      <c r="A10" s="15" t="inlineStr">
        <is>
          <t>Low Severity</t>
        </is>
      </c>
      <c r="B10" s="19">
        <f>COUNTIF(Data!K2:K7,"Low")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  <col width="10" customWidth="1" min="11" max="11"/>
    <col width="54" customWidth="1" min="12" max="12"/>
    <col width="32" customWidth="1" min="13" max="13"/>
  </cols>
  <sheetData>
    <row r="1">
      <c r="A1" s="13" t="inlineStr">
        <is>
          <t>Actual vs Forecast Insights</t>
        </is>
      </c>
    </row>
    <row r="2">
      <c r="A2" s="14" t="inlineStr">
        <is>
          <t>Business-friendly narrative view for stakeholders.</t>
        </is>
      </c>
    </row>
    <row r="3">
      <c r="A3" t="inlineStr">
        <is>
          <t>Top 10 Variance Insights</t>
        </is>
      </c>
    </row>
    <row r="4">
      <c r="A4" s="20" t="inlineStr">
        <is>
          <t>Entity</t>
        </is>
      </c>
      <c r="B4" s="20" t="inlineStr">
        <is>
          <t>Account</t>
        </is>
      </c>
      <c r="C4" s="20" t="inlineStr">
        <is>
          <t>Actual</t>
        </is>
      </c>
      <c r="D4" s="20" t="inlineStr">
        <is>
          <t>Forecast</t>
        </is>
      </c>
      <c r="E4" s="20" t="inlineStr">
        <is>
          <t>Variance</t>
        </is>
      </c>
      <c r="F4" s="20" t="inlineStr">
        <is>
          <t>Var %</t>
        </is>
      </c>
      <c r="G4" s="20" t="inlineStr">
        <is>
          <t>Severity</t>
        </is>
      </c>
      <c r="H4" s="20" t="inlineStr">
        <is>
          <t>Narrative Message</t>
        </is>
      </c>
      <c r="I4" s="20" t="inlineStr">
        <is>
          <t>Trend</t>
        </is>
      </c>
      <c r="J4" s="20" t="inlineStr">
        <is>
          <t>Pattern</t>
        </is>
      </c>
      <c r="K4" s="20" t="inlineStr">
        <is>
          <t>Severity</t>
        </is>
      </c>
      <c r="L4" s="20" t="inlineStr">
        <is>
          <t>Narrative Message</t>
        </is>
      </c>
      <c r="M4" s="20" t="inlineStr">
        <is>
          <t>Recommended Action</t>
        </is>
      </c>
    </row>
    <row r="5">
      <c r="A5" t="inlineStr">
        <is>
          <t>Australia &amp; New Zealand</t>
        </is>
      </c>
      <c r="B5" t="inlineStr">
        <is>
          <t>Software Revenue</t>
        </is>
      </c>
      <c r="C5" t="n">
        <v>30450</v>
      </c>
      <c r="D5" t="n">
        <v>45928.05</v>
      </c>
      <c r="E5" t="n">
        <v>-15478.05</v>
      </c>
      <c r="F5" t="n">
        <v>-33.7</v>
      </c>
      <c r="G5" t="inlineStr">
        <is>
          <t>High</t>
        </is>
      </c>
      <c r="H5" t="inlineStr">
        <is>
          <t>Software Revenue in LE_ANZ is -33.7% below forecast.</t>
        </is>
      </c>
    </row>
    <row r="6">
      <c r="A6" t="inlineStr">
        <is>
          <t>Australia &amp; New Zealand</t>
        </is>
      </c>
      <c r="B6" t="inlineStr">
        <is>
          <t>Hardware Revenue</t>
        </is>
      </c>
      <c r="C6" t="n">
        <v>40600</v>
      </c>
      <c r="D6" t="n">
        <v>53481.34</v>
      </c>
      <c r="E6" t="n">
        <v>-12881.34</v>
      </c>
      <c r="F6" t="n">
        <v>-24.09</v>
      </c>
      <c r="G6" t="inlineStr">
        <is>
          <t>High</t>
        </is>
      </c>
      <c r="H6" t="inlineStr">
        <is>
          <t>Hardware Revenue in LE_ANZ is -24.1% below forecast.</t>
        </is>
      </c>
    </row>
    <row r="7">
      <c r="A7" t="inlineStr">
        <is>
          <t>Australia &amp; New Zealand</t>
        </is>
      </c>
      <c r="B7" t="inlineStr">
        <is>
          <t>Product Revenue</t>
        </is>
      </c>
      <c r="C7" t="n">
        <v>37040</v>
      </c>
      <c r="D7" t="n">
        <v>48064.50999999999</v>
      </c>
      <c r="E7" t="n">
        <v>-11024.50999999999</v>
      </c>
      <c r="F7" t="n">
        <v>-22.94</v>
      </c>
      <c r="G7" t="inlineStr">
        <is>
          <t>High</t>
        </is>
      </c>
      <c r="H7" t="inlineStr">
        <is>
          <t>Product Revenue in LE_ANZ is -22.9% below forecast.</t>
        </is>
      </c>
    </row>
    <row r="8">
      <c r="A8" t="inlineStr">
        <is>
          <t>Australia &amp; New Zealand</t>
        </is>
      </c>
      <c r="B8" t="inlineStr">
        <is>
          <t>Non-operating expenses, net</t>
        </is>
      </c>
      <c r="C8" t="n">
        <v>47503.8</v>
      </c>
      <c r="D8" t="n">
        <v>40555.35000000001</v>
      </c>
      <c r="E8" t="n">
        <v>6948.449999999997</v>
      </c>
      <c r="F8" t="n">
        <v>17.13</v>
      </c>
      <c r="G8" t="inlineStr">
        <is>
          <t>Medium</t>
        </is>
      </c>
      <c r="H8" t="inlineStr">
        <is>
          <t>Non-operating expenses, net in LE_ANZ is 17.1% above forecast.</t>
        </is>
      </c>
    </row>
    <row r="9">
      <c r="A9" t="inlineStr">
        <is>
          <t>Australia &amp; New Zealand</t>
        </is>
      </c>
      <c r="B9" t="inlineStr">
        <is>
          <t>Dierct Cost of Sale</t>
        </is>
      </c>
      <c r="C9" t="n">
        <v>64960</v>
      </c>
      <c r="D9" t="n">
        <v>73294.84</v>
      </c>
      <c r="E9" t="n">
        <v>-8334.839999999997</v>
      </c>
      <c r="F9" t="n">
        <v>-11.37</v>
      </c>
      <c r="G9" t="inlineStr">
        <is>
          <t>Medium</t>
        </is>
      </c>
      <c r="H9" t="inlineStr">
        <is>
          <t>Dierct Cost of Sale in LE_ANZ is -11.4% below forecast.</t>
        </is>
      </c>
    </row>
    <row r="10">
      <c r="A10" t="inlineStr">
        <is>
          <t>Australia &amp; New Zealand</t>
        </is>
      </c>
      <c r="B10" t="inlineStr">
        <is>
          <t>Interest expense</t>
        </is>
      </c>
      <c r="C10" t="n">
        <v>37300.032</v>
      </c>
      <c r="D10" t="n">
        <v>35664.69</v>
      </c>
      <c r="E10" t="n">
        <v>1635.341999999997</v>
      </c>
      <c r="F10" t="n">
        <v>4.59</v>
      </c>
      <c r="G10" t="inlineStr">
        <is>
          <t>Low</t>
        </is>
      </c>
      <c r="H10" t="inlineStr">
        <is>
          <t>Interest expense in LE_ANZ is 4.6% above forecast.</t>
        </is>
      </c>
    </row>
    <row r="11">
      <c r="A11" t="inlineStr">
        <is>
          <t>Australia &amp; New Zealand</t>
        </is>
      </c>
      <c r="B11" t="inlineStr">
        <is>
          <t>Restructuring costs</t>
        </is>
      </c>
      <c r="C11" t="n">
        <v>2030</v>
      </c>
      <c r="D11" t="n">
        <v>1955.43</v>
      </c>
      <c r="E11" t="n">
        <v>74.57000000000016</v>
      </c>
      <c r="F11" t="n">
        <v>3.81</v>
      </c>
      <c r="G11" t="inlineStr">
        <is>
          <t>Low</t>
        </is>
      </c>
      <c r="H11" t="inlineStr">
        <is>
          <t>Restructuring costs in LE_ANZ is 3.8% above forecast.</t>
        </is>
      </c>
    </row>
    <row r="12">
      <c r="A12" t="inlineStr">
        <is>
          <t>Australia &amp; New Zealand</t>
        </is>
      </c>
      <c r="B12" t="inlineStr">
        <is>
          <t>Services Revenue</t>
        </is>
      </c>
      <c r="C12" t="n">
        <v>34510</v>
      </c>
      <c r="D12" t="n">
        <v>35804.17999999999</v>
      </c>
      <c r="E12" t="n">
        <v>-1294.179999999993</v>
      </c>
      <c r="F12" t="n">
        <v>-3.61</v>
      </c>
      <c r="G12" t="inlineStr">
        <is>
          <t>Low</t>
        </is>
      </c>
      <c r="H12" t="inlineStr">
        <is>
          <t>Services Revenue in LE_ANZ is -3.6% below forecast.</t>
        </is>
      </c>
    </row>
    <row r="13">
      <c r="A13" t="inlineStr">
        <is>
          <t>Australia &amp; New Zealand</t>
        </is>
      </c>
      <c r="B13" t="inlineStr">
        <is>
          <t>Services costs</t>
        </is>
      </c>
      <c r="C13" t="n">
        <v>14210</v>
      </c>
      <c r="D13" t="n">
        <v>13765.39</v>
      </c>
      <c r="E13" t="n">
        <v>444.6100000000006</v>
      </c>
      <c r="F13" t="n">
        <v>3.23</v>
      </c>
      <c r="G13" t="inlineStr">
        <is>
          <t>Low</t>
        </is>
      </c>
      <c r="H13" t="inlineStr">
        <is>
          <t>Services costs in LE_ANZ is 3.2% above forecast.</t>
        </is>
      </c>
    </row>
    <row r="14">
      <c r="A14" t="inlineStr">
        <is>
          <t>Australia &amp; New Zealand</t>
        </is>
      </c>
      <c r="B14" t="inlineStr">
        <is>
          <t>Sales and Marketing costs</t>
        </is>
      </c>
      <c r="C14" t="n">
        <v>18270</v>
      </c>
      <c r="D14" t="n">
        <v>18874.29</v>
      </c>
      <c r="E14" t="n">
        <v>-604.2900000000009</v>
      </c>
      <c r="F14" t="n">
        <v>-3.2</v>
      </c>
      <c r="G14" t="inlineStr">
        <is>
          <t>Low</t>
        </is>
      </c>
      <c r="H14" t="inlineStr">
        <is>
          <t>Sales and Marketing costs in LE_ANZ is -3.2% below forecast.</t>
        </is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3"/>
  <sheetViews>
    <sheetView showGridLines="0" workbookViewId="0">
      <selection activeCell="A1" sqref="A1"/>
    </sheetView>
  </sheetViews>
  <sheetFormatPr baseColWidth="8" defaultRowHeight="15"/>
  <cols>
    <col width="98" customWidth="1" min="1" max="1"/>
  </cols>
  <sheetData>
    <row r="1">
      <c r="A1" s="17" t="inlineStr">
        <is>
          <t>Template purpose</t>
        </is>
      </c>
    </row>
    <row r="2">
      <c r="A2" t="inlineStr">
        <is>
          <t>Generate an exception-based Actual vs Forecast insight report from coded data inputs.</t>
        </is>
      </c>
    </row>
    <row r="4">
      <c r="A4" s="5" t="inlineStr">
        <is>
          <t>Recommended process</t>
        </is>
      </c>
    </row>
    <row r="5">
      <c r="A5" t="inlineStr">
        <is>
          <t>1) Paste monthly or period data into the Data sheet.</t>
        </is>
      </c>
    </row>
    <row r="6">
      <c r="A6" t="inlineStr">
        <is>
          <t>2) Maintain 3 months of history for each row so trend formulas work.</t>
        </is>
      </c>
    </row>
    <row r="7">
      <c r="A7" t="inlineStr">
        <is>
          <t>3) Adjust thresholds on the Controls sheet.</t>
        </is>
      </c>
    </row>
    <row r="8">
      <c r="A8" t="inlineStr">
        <is>
          <t>4) Open the Summary and Insights tabs for the report output.</t>
        </is>
      </c>
    </row>
    <row r="10">
      <c r="A10" s="5" t="inlineStr">
        <is>
          <t>Message examples</t>
        </is>
      </c>
    </row>
    <row r="11">
      <c r="A11" s="14" t="inlineStr">
        <is>
          <t>Actual is above forecast for 3 consecutive periods.</t>
        </is>
      </c>
    </row>
    <row r="12">
      <c r="A12" s="14" t="inlineStr">
        <is>
          <t>Forecast is consistently optimistic versus actuals.</t>
        </is>
      </c>
    </row>
    <row r="13">
      <c r="A13" s="14" t="inlineStr">
        <is>
          <t>Value is outside the normal band and should be validated.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2026-04-21T04:16:03Z</dcterms:created>
  <dcterms:modified xmlns:dcterms="http://purl.org/dc/terms/" xmlns:xsi="http://www.w3.org/2001/XMLSchema-instance" xsi:type="dcterms:W3CDTF">2026-04-27T10:05:32Z</dcterms:modified>
</cp:coreProperties>
</file>
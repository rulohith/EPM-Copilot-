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READM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;[Red](0.0%);-"/>
    <numFmt numFmtId="165" formatCode="#,##0.0;[Red](#,##0.0);-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800080"/>
    </font>
    <font>
      <color rgb="000000FF"/>
    </font>
    <font>
      <b val="1"/>
    </font>
    <font>
      <color rgb="00000000"/>
    </font>
    <font>
      <b val="1"/>
      <color rgb="00FFFFFF"/>
      <sz val="14"/>
    </font>
    <font>
      <i val="1"/>
      <color rgb="00666666"/>
    </font>
    <font>
      <color rgb="0000800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E8FF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top style="medium">
        <color rgb="00808080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3" borderId="0" pivotButton="0" quotePrefix="0" xfId="0"/>
    <xf numFmtId="1" fontId="3" fillId="3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0" pivotButton="0" quotePrefix="0" xfId="0"/>
    <xf numFmtId="165" fontId="3" fillId="4" borderId="0" pivotButton="0" quotePrefix="0" xfId="0"/>
    <xf numFmtId="165" fontId="5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4" fontId="3" fillId="4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4" fillId="5" borderId="0" pivotButton="0" quotePrefix="0" xfId="0"/>
    <xf numFmtId="165" fontId="5" fillId="5" borderId="0" pivotButton="0" quotePrefix="0" xfId="0"/>
    <xf numFmtId="0" fontId="1" fillId="2" borderId="0" pivotButton="0" quotePrefix="0" xfId="0"/>
    <xf numFmtId="164" fontId="5" fillId="5" borderId="0" pivotButton="0" quotePrefix="0" xfId="0"/>
    <xf numFmtId="1" fontId="5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6" borderId="0" pivotButton="0" quotePrefix="0" xfId="0"/>
    <xf numFmtId="165" fontId="5" fillId="6" borderId="0" pivotButton="0" quotePrefix="0" xfId="0"/>
    <xf numFmtId="164" fontId="5" fillId="6" borderId="0" pivotButton="0" quotePrefix="0" xfId="0"/>
    <xf numFmtId="0" fontId="5" fillId="6" borderId="0" pivotButton="0" quotePrefix="0" xfId="0"/>
    <xf numFmtId="0" fontId="8" fillId="7" borderId="0" pivotButton="0" quotePrefix="0" xfId="0"/>
    <xf numFmtId="165" fontId="5" fillId="7" borderId="0" pivotButton="0" quotePrefix="0" xfId="0"/>
    <xf numFmtId="164" fontId="5" fillId="7" borderId="0" pivotButton="0" quotePrefix="0" xfId="0"/>
    <xf numFmtId="0" fontId="5" fillId="7" borderId="0" pivotButton="0" quotePrefix="0" xfId="0"/>
    <xf numFmtId="0" fontId="8" fillId="8" borderId="0" pivotButton="0" quotePrefix="0" xfId="0"/>
    <xf numFmtId="165" fontId="5" fillId="8" borderId="0" pivotButton="0" quotePrefix="0" xfId="0"/>
    <xf numFmtId="164" fontId="5" fillId="8" borderId="0" pivotButton="0" quotePrefix="0" xfId="0"/>
    <xf numFmtId="0" fontId="5" fillId="8" borderId="0" pivotButton="0" quotePrefix="0" xfId="0"/>
    <xf numFmtId="0" fontId="8" fillId="9" borderId="0" pivotButton="0" quotePrefix="0" xfId="0"/>
    <xf numFmtId="165" fontId="5" fillId="9" borderId="0" pivotButton="0" quotePrefix="0" xfId="0"/>
    <xf numFmtId="164" fontId="5" fillId="9" borderId="0" pivotButton="0" quotePrefix="0" xfId="0"/>
    <xf numFmtId="0" fontId="5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Exception severity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'Summary'!$H$5:$H$7</f>
            </numRef>
          </cat>
          <val>
            <numRef>
              <f>'Summary'!$I$5:$I$7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G2" authorId="0" shapeId="0">
      <text>
        <t>Derived value: Actual - Forecast</t>
      </text>
    </comment>
    <comment ref="H2" authorId="0" shapeId="0">
      <text>
        <t>Derived value: Variance / Forecast</t>
      </text>
    </comment>
    <comment ref="G3" authorId="0" shapeId="0">
      <text>
        <t>Derived value: Actual - Forecast</t>
      </text>
    </comment>
    <comment ref="H3" authorId="0" shapeId="0">
      <text>
        <t>Derived value: Variance / Forecast</t>
      </text>
    </comment>
    <comment ref="G4" authorId="0" shapeId="0">
      <text>
        <t>Derived value: Actual - Forecast</t>
      </text>
    </comment>
    <comment ref="H4" authorId="0" shapeId="0">
      <text>
        <t>Derived value: Variance / Forecast</t>
      </text>
    </comment>
    <comment ref="G5" authorId="0" shapeId="0">
      <text>
        <t>Derived value: Actual - Forecast</t>
      </text>
    </comment>
    <comment ref="H5" authorId="0" shapeId="0">
      <text>
        <t>Derived value: Variance / Forecast</t>
      </text>
    </comment>
    <comment ref="G6" authorId="0" shapeId="0">
      <text>
        <t>Derived value: Actual - Forecast</t>
      </text>
    </comment>
    <comment ref="H6" authorId="0" shapeId="0">
      <text>
        <t>Derived value: Variance / Forecast</t>
      </text>
    </comment>
    <comment ref="G7" authorId="0" shapeId="0">
      <text>
        <t>Derived value: Actual - Forecast</t>
      </text>
    </comment>
    <comment ref="H7" authorId="0" shapeId="0">
      <text>
        <t>Derived value: Variance / Forecast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sightData" displayName="InsightData" ref="A1:M7" headerRowCount="1">
  <autoFilter ref="A1:M7"/>
  <tableColumns count="13">
    <tableColumn id="1" name="Entity"/>
    <tableColumn id="2" name="Account"/>
    <tableColumn id="3" name="Actual"/>
    <tableColumn id="4" name="Forecast"/>
    <tableColumn id="5" name="Prior 1"/>
    <tableColumn id="6" name="Prior 2"/>
    <tableColumn id="7" name="Variance"/>
    <tableColumn id="8" name="Var %"/>
    <tableColumn id="9" name="Trend"/>
    <tableColumn id="10" name="Pattern"/>
    <tableColumn id="11" name="Severity"/>
    <tableColumn id="12" name="Narrative Message"/>
    <tableColumn id="13" name="Recommend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</cols>
  <sheetData>
    <row r="1">
      <c r="A1" s="1" t="inlineStr">
        <is>
          <t>Control</t>
        </is>
      </c>
      <c r="B1" s="1" t="inlineStr">
        <is>
          <t>Value</t>
        </is>
      </c>
      <c r="C1" s="1" t="inlineStr">
        <is>
          <t>Purpose</t>
        </is>
      </c>
    </row>
    <row r="2">
      <c r="A2" s="2" t="inlineStr">
        <is>
          <t>High Variance Threshold</t>
        </is>
      </c>
      <c r="B2" s="3" t="n">
        <v>0.15</v>
      </c>
      <c r="C2" t="inlineStr">
        <is>
          <t>Flags severe exceptions</t>
        </is>
      </c>
    </row>
    <row r="3">
      <c r="A3" s="2" t="inlineStr">
        <is>
          <t>Medium Variance Threshold</t>
        </is>
      </c>
      <c r="B3" s="3" t="n">
        <v>0.08</v>
      </c>
      <c r="C3" t="inlineStr">
        <is>
          <t>Flags medium exceptions</t>
        </is>
      </c>
    </row>
    <row r="4">
      <c r="A4" s="2" t="inlineStr">
        <is>
          <t>Low Variance Threshold</t>
        </is>
      </c>
      <c r="B4" s="3" t="n">
        <v>0.03</v>
      </c>
      <c r="C4" t="inlineStr">
        <is>
          <t>Flags low exceptions</t>
        </is>
      </c>
    </row>
    <row r="5">
      <c r="A5" s="2" t="inlineStr">
        <is>
          <t>Trend Periods</t>
        </is>
      </c>
      <c r="B5" s="4" t="n">
        <v>3</v>
      </c>
      <c r="C5" t="inlineStr">
        <is>
          <t>Lookback window for patterns</t>
        </is>
      </c>
    </row>
    <row r="7">
      <c r="A7" s="5" t="inlineStr">
        <is>
          <t>Pattern logic</t>
        </is>
      </c>
      <c r="B7" t="inlineStr">
        <is>
          <t>Uses variance thresholds plus 3-period trend direction.</t>
        </is>
      </c>
    </row>
    <row r="8">
      <c r="A8" s="5" t="inlineStr">
        <is>
          <t>Severity logic</t>
        </is>
      </c>
      <c r="B8" t="inlineStr">
        <is>
          <t>High &gt;= high threshold, Medium &gt;= medium threshold, Low &gt;= low threshold.</t>
        </is>
      </c>
    </row>
    <row r="9">
      <c r="A9" t="inlineStr">
        <is>
          <t>Generated On</t>
        </is>
      </c>
      <c r="B9" t="inlineStr">
        <is>
          <t>2026-04-21T11:45:21</t>
        </is>
      </c>
      <c r="C9" t="inlineStr">
        <is>
          <t>Report generation timestamp</t>
        </is>
      </c>
    </row>
    <row r="10">
      <c r="A10" t="inlineStr">
        <is>
          <t>Dimension Count</t>
        </is>
      </c>
      <c r="B10" t="n">
        <v>9</v>
      </c>
      <c r="C10" t="inlineStr">
        <is>
          <t>Dimensions discovered in environment</t>
        </is>
      </c>
    </row>
    <row r="11">
      <c r="A11" t="inlineStr">
        <is>
          <t>Dimensions</t>
        </is>
      </c>
      <c r="B11" t="inlineStr">
        <is>
          <t>Measures, Period, Years, Scenario, Version, Entity, UoM, LOB, Analysis</t>
        </is>
      </c>
      <c r="C11" t="inlineStr">
        <is>
          <t>Discovered dimensions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6" t="inlineStr">
        <is>
          <t>Entity</t>
        </is>
      </c>
      <c r="B1" s="6" t="inlineStr">
        <is>
          <t>Account</t>
        </is>
      </c>
      <c r="C1" s="6" t="inlineStr">
        <is>
          <t>Actual</t>
        </is>
      </c>
      <c r="D1" s="6" t="inlineStr">
        <is>
          <t>Forecast</t>
        </is>
      </c>
      <c r="E1" s="6" t="inlineStr">
        <is>
          <t>Prior 1</t>
        </is>
      </c>
      <c r="F1" s="6" t="inlineStr">
        <is>
          <t>Prior 2</t>
        </is>
      </c>
      <c r="G1" s="6" t="inlineStr">
        <is>
          <t>Variance</t>
        </is>
      </c>
      <c r="H1" s="6" t="inlineStr">
        <is>
          <t>Var %</t>
        </is>
      </c>
      <c r="I1" s="6" t="inlineStr">
        <is>
          <t>Trend</t>
        </is>
      </c>
      <c r="J1" s="6" t="inlineStr">
        <is>
          <t>Pattern</t>
        </is>
      </c>
      <c r="K1" s="6" t="inlineStr">
        <is>
          <t>Severity</t>
        </is>
      </c>
      <c r="L1" s="6" t="inlineStr">
        <is>
          <t>Narrative Message</t>
        </is>
      </c>
      <c r="M1" s="6" t="inlineStr">
        <is>
          <t>Recommended Action</t>
        </is>
      </c>
    </row>
    <row r="2">
      <c r="A2" s="7" t="inlineStr">
        <is>
          <t>North</t>
        </is>
      </c>
      <c r="B2" s="7" t="inlineStr">
        <is>
          <t>Revenue</t>
        </is>
      </c>
      <c r="C2" s="8" t="n">
        <v>1250</v>
      </c>
      <c r="D2" s="8" t="n">
        <v>1100</v>
      </c>
      <c r="E2" s="8" t="n">
        <v>1180</v>
      </c>
      <c r="F2" s="8" t="n">
        <v>1130</v>
      </c>
      <c r="G2" s="9">
        <f>C2-D2</f>
        <v/>
      </c>
      <c r="H2" s="10">
        <f>IFERROR(G2/D2,0)</f>
        <v/>
      </c>
      <c r="I2" s="11">
        <f>IF(AND(C2&gt;E2,E2&gt;F2),"Uptrend",IF(AND(C2&lt;E2,E2&lt;F2),"Downtrend","Flat/volatile"))</f>
        <v/>
      </c>
      <c r="J2" s="11">
        <f>IF(ABS(H2)&gt;=Controls!$B$2,"Outlier",IF(AND(H2&gt;Controls!$B$4,I2="Uptrend"),"Sustained upside",IF(AND(H2&lt;-Controls!$B$4,I2="Downtrend"),"Sustained downside",IF(AND(ABS(H2)&gt;Controls!$B$4,I2="Flat/volatile"),"Forecast bias","On track"))))</f>
        <v/>
      </c>
      <c r="K2" s="11">
        <f>IF(ABS(H2)&gt;=Controls!$B$2,"High",IF(ABS(H2)&gt;=Controls!$B$3,"Medium",IF(ABS(H2)&gt;=Controls!$B$4,"Low","None")))</f>
        <v/>
      </c>
      <c r="L2" s="11">
        <f>IF(J2="Outlier","Value is outside the normal band and should be validated.",IF(J2="Sustained upside","Actual is above forecast for 3 consecutive periods. Pattern suggests stronger-than-planned performance.",IF(J2="Sustained downside","Actual is below forecast for 3 consecutive periods. Forecast may be overstated.",IF(J2="Forecast bias","Forecast is consistently optimistic versus actuals.",IF(J2="On track","Actual is aligned with forecast.","Review required.")))))</f>
        <v/>
      </c>
      <c r="M2" s="11">
        <f>IF(K2="High","Escalate to owner and reforecast.",IF(K2="Medium","Review assumptions and adjust plan.",IF(K2="Low","Monitor next cycle.","No action required.")))</f>
        <v/>
      </c>
    </row>
    <row r="3">
      <c r="A3" s="7" t="inlineStr">
        <is>
          <t>North</t>
        </is>
      </c>
      <c r="B3" s="7" t="inlineStr">
        <is>
          <t>Opex</t>
        </is>
      </c>
      <c r="C3" s="8" t="n">
        <v>420</v>
      </c>
      <c r="D3" s="8" t="n">
        <v>390</v>
      </c>
      <c r="E3" s="8" t="n">
        <v>382</v>
      </c>
      <c r="F3" s="8" t="n">
        <v>375</v>
      </c>
      <c r="G3" s="9">
        <f>C3-D3</f>
        <v/>
      </c>
      <c r="H3" s="10">
        <f>IFERROR(G3/D3,0)</f>
        <v/>
      </c>
      <c r="I3" s="11">
        <f>IF(AND(C3&gt;E3,E3&gt;F3),"Uptrend",IF(AND(C3&lt;E3,E3&lt;F3),"Downtrend","Flat/volatile"))</f>
        <v/>
      </c>
      <c r="J3" s="11">
        <f>IF(ABS(H3)&gt;=Controls!$B$2,"Outlier",IF(AND(H3&gt;Controls!$B$4,I3="Uptrend"),"Sustained upside",IF(AND(H3&lt;-Controls!$B$4,I3="Downtrend"),"Sustained downside",IF(AND(ABS(H3)&gt;Controls!$B$4,I3="Flat/volatile"),"Forecast bias","On track"))))</f>
        <v/>
      </c>
      <c r="K3" s="11">
        <f>IF(ABS(H3)&gt;=Controls!$B$2,"High",IF(ABS(H3)&gt;=Controls!$B$3,"Medium",IF(ABS(H3)&gt;=Controls!$B$4,"Low","None")))</f>
        <v/>
      </c>
      <c r="L3" s="11">
        <f>IF(J3="Outlier","Value is outside the normal band and should be validated.",IF(J3="Sustained upside","Actual is above forecast for 3 consecutive periods. Pattern suggests stronger-than-planned performance.",IF(J3="Sustained downside","Actual is below forecast for 3 consecutive periods. Forecast may be overstated.",IF(J3="Forecast bias","Forecast is consistently optimistic versus actuals.",IF(J3="On track","Actual is aligned with forecast.","Review required.")))))</f>
        <v/>
      </c>
      <c r="M3" s="11">
        <f>IF(K3="High","Escalate to owner and reforecast.",IF(K3="Medium","Review assumptions and adjust plan.",IF(K3="Low","Monitor next cycle.","No action required.")))</f>
        <v/>
      </c>
    </row>
    <row r="4">
      <c r="A4" s="7" t="inlineStr">
        <is>
          <t>West</t>
        </is>
      </c>
      <c r="B4" s="7" t="inlineStr">
        <is>
          <t>Revenue</t>
        </is>
      </c>
      <c r="C4" s="8" t="n">
        <v>980</v>
      </c>
      <c r="D4" s="8" t="n">
        <v>1080</v>
      </c>
      <c r="E4" s="8" t="n">
        <v>1045</v>
      </c>
      <c r="F4" s="8" t="n">
        <v>1112</v>
      </c>
      <c r="G4" s="9">
        <f>C4-D4</f>
        <v/>
      </c>
      <c r="H4" s="10">
        <f>IFERROR(G4/D4,0)</f>
        <v/>
      </c>
      <c r="I4" s="11">
        <f>IF(AND(C4&gt;E4,E4&gt;F4),"Uptrend",IF(AND(C4&lt;E4,E4&lt;F4),"Downtrend","Flat/volatile"))</f>
        <v/>
      </c>
      <c r="J4" s="11">
        <f>IF(ABS(H4)&gt;=Controls!$B$2,"Outlier",IF(AND(H4&gt;Controls!$B$4,I4="Uptrend"),"Sustained upside",IF(AND(H4&lt;-Controls!$B$4,I4="Downtrend"),"Sustained downside",IF(AND(ABS(H4)&gt;Controls!$B$4,I4="Flat/volatile"),"Forecast bias","On track"))))</f>
        <v/>
      </c>
      <c r="K4" s="11">
        <f>IF(ABS(H4)&gt;=Controls!$B$2,"High",IF(ABS(H4)&gt;=Controls!$B$3,"Medium",IF(ABS(H4)&gt;=Controls!$B$4,"Low","None")))</f>
        <v/>
      </c>
      <c r="L4" s="11">
        <f>IF(J4="Outlier","Value is outside the normal band and should be validated.",IF(J4="Sustained upside","Actual is above forecast for 3 consecutive periods. Pattern suggests stronger-than-planned performance.",IF(J4="Sustained downside","Actual is below forecast for 3 consecutive periods. Forecast may be overstated.",IF(J4="Forecast bias","Forecast is consistently optimistic versus actuals.",IF(J4="On track","Actual is aligned with forecast.","Review required.")))))</f>
        <v/>
      </c>
      <c r="M4" s="11">
        <f>IF(K4="High","Escalate to owner and reforecast.",IF(K4="Medium","Review assumptions and adjust plan.",IF(K4="Low","Monitor next cycle.","No action required.")))</f>
        <v/>
      </c>
    </row>
    <row r="5">
      <c r="A5" s="7" t="inlineStr">
        <is>
          <t>East</t>
        </is>
      </c>
      <c r="B5" s="7" t="inlineStr">
        <is>
          <t>Margin %</t>
        </is>
      </c>
      <c r="C5" s="12" t="n">
        <v>0.182</v>
      </c>
      <c r="D5" s="12" t="n">
        <v>0.21</v>
      </c>
      <c r="E5" s="12" t="n">
        <v>0.225</v>
      </c>
      <c r="F5" s="12" t="n">
        <v>0.228</v>
      </c>
      <c r="G5" s="10">
        <f>C5-D5</f>
        <v/>
      </c>
      <c r="H5" s="10">
        <f>IFERROR(G5/D5,0)</f>
        <v/>
      </c>
      <c r="I5" s="11">
        <f>IF(AND(C5&gt;E5,E5&gt;F5),"Uptrend",IF(AND(C5&lt;E5,E5&lt;F5),"Downtrend","Flat/volatile"))</f>
        <v/>
      </c>
      <c r="J5" s="11">
        <f>IF(ABS(H5)&gt;=Controls!$B$2,"Outlier",IF(AND(H5&gt;Controls!$B$4,I5="Uptrend"),"Sustained upside",IF(AND(H5&lt;-Controls!$B$4,I5="Downtrend"),"Sustained downside",IF(AND(ABS(H5)&gt;Controls!$B$4,I5="Flat/volatile"),"Forecast bias","On track"))))</f>
        <v/>
      </c>
      <c r="K5" s="11">
        <f>IF(ABS(H5)&gt;=Controls!$B$2,"High",IF(ABS(H5)&gt;=Controls!$B$3,"Medium",IF(ABS(H5)&gt;=Controls!$B$4,"Low","None")))</f>
        <v/>
      </c>
      <c r="L5" s="11">
        <f>IF(J5="Outlier","Value is outside the normal band and should be validated.",IF(J5="Sustained upside","Actual is above forecast for 3 consecutive periods. Pattern suggests stronger-than-planned performance.",IF(J5="Sustained downside","Actual is below forecast for 3 consecutive periods. Forecast may be overstated.",IF(J5="Forecast bias","Forecast is consistently optimistic versus actuals.",IF(J5="On track","Actual is aligned with forecast.","Review required.")))))</f>
        <v/>
      </c>
      <c r="M5" s="11">
        <f>IF(K5="High","Escalate to owner and reforecast.",IF(K5="Medium","Review assumptions and adjust plan.",IF(K5="Low","Monitor next cycle.","No action required.")))</f>
        <v/>
      </c>
    </row>
    <row r="6">
      <c r="A6" s="7" t="inlineStr">
        <is>
          <t>South</t>
        </is>
      </c>
      <c r="B6" s="7" t="inlineStr">
        <is>
          <t>Capex</t>
        </is>
      </c>
      <c r="C6" s="8" t="n">
        <v>210</v>
      </c>
      <c r="D6" s="8" t="n">
        <v>140</v>
      </c>
      <c r="E6" s="8" t="n">
        <v>135</v>
      </c>
      <c r="F6" s="8" t="n">
        <v>133</v>
      </c>
      <c r="G6" s="9">
        <f>C6-D6</f>
        <v/>
      </c>
      <c r="H6" s="10">
        <f>IFERROR(G6/D6,0)</f>
        <v/>
      </c>
      <c r="I6" s="11">
        <f>IF(AND(C6&gt;E6,E6&gt;F6),"Uptrend",IF(AND(C6&lt;E6,E6&lt;F6),"Downtrend","Flat/volatile"))</f>
        <v/>
      </c>
      <c r="J6" s="11">
        <f>IF(ABS(H6)&gt;=Controls!$B$2,"Outlier",IF(AND(H6&gt;Controls!$B$4,I6="Uptrend"),"Sustained upside",IF(AND(H6&lt;-Controls!$B$4,I6="Downtrend"),"Sustained downside",IF(AND(ABS(H6)&gt;Controls!$B$4,I6="Flat/volatile"),"Forecast bias","On track"))))</f>
        <v/>
      </c>
      <c r="K6" s="11">
        <f>IF(ABS(H6)&gt;=Controls!$B$2,"High",IF(ABS(H6)&gt;=Controls!$B$3,"Medium",IF(ABS(H6)&gt;=Controls!$B$4,"Low","None")))</f>
        <v/>
      </c>
      <c r="L6" s="11">
        <f>IF(J6="Outlier","Value is outside the normal band and should be validated.",IF(J6="Sustained upside","Actual is above forecast for 3 consecutive periods. Pattern suggests stronger-than-planned performance.",IF(J6="Sustained downside","Actual is below forecast for 3 consecutive periods. Forecast may be overstated.",IF(J6="Forecast bias","Forecast is consistently optimistic versus actuals.",IF(J6="On track","Actual is aligned with forecast.","Review required.")))))</f>
        <v/>
      </c>
      <c r="M6" s="11">
        <f>IF(K6="High","Escalate to owner and reforecast.",IF(K6="Medium","Review assumptions and adjust plan.",IF(K6="Low","Monitor next cycle.","No action required.")))</f>
        <v/>
      </c>
    </row>
    <row r="7">
      <c r="A7" s="7" t="inlineStr">
        <is>
          <t>Central</t>
        </is>
      </c>
      <c r="B7" s="7" t="inlineStr">
        <is>
          <t>Headcount</t>
        </is>
      </c>
      <c r="C7" s="8" t="n">
        <v>145</v>
      </c>
      <c r="D7" s="8" t="n">
        <v>146</v>
      </c>
      <c r="E7" s="8" t="n">
        <v>144</v>
      </c>
      <c r="F7" s="8" t="n">
        <v>145</v>
      </c>
      <c r="G7" s="9">
        <f>C7-D7</f>
        <v/>
      </c>
      <c r="H7" s="10">
        <f>IFERROR(G7/D7,0)</f>
        <v/>
      </c>
      <c r="I7" s="11">
        <f>IF(AND(C7&gt;E7,E7&gt;F7),"Uptrend",IF(AND(C7&lt;E7,E7&lt;F7),"Downtrend","Flat/volatile"))</f>
        <v/>
      </c>
      <c r="J7" s="11">
        <f>IF(ABS(H7)&gt;=Controls!$B$2,"Outlier",IF(AND(H7&gt;Controls!$B$4,I7="Uptrend"),"Sustained upside",IF(AND(H7&lt;-Controls!$B$4,I7="Downtrend"),"Sustained downside",IF(AND(ABS(H7)&gt;Controls!$B$4,I7="Flat/volatile"),"Forecast bias","On track"))))</f>
        <v/>
      </c>
      <c r="K7" s="11">
        <f>IF(ABS(H7)&gt;=Controls!$B$2,"High",IF(ABS(H7)&gt;=Controls!$B$3,"Medium",IF(ABS(H7)&gt;=Controls!$B$4,"Low","None")))</f>
        <v/>
      </c>
      <c r="L7" s="11">
        <f>IF(J7="Outlier","Value is outside the normal band and should be validated.",IF(J7="Sustained upside","Actual is above forecast for 3 consecutive periods. Pattern suggests stronger-than-planned performance.",IF(J7="Sustained downside","Actual is below forecast for 3 consecutive periods. Forecast may be overstated.",IF(J7="Forecast bias","Forecast is consistently optimistic versus actuals.",IF(J7="On track","Actual is aligned with forecast.","Review required.")))))</f>
        <v/>
      </c>
      <c r="M7" s="11">
        <f>IF(K7="High","Escalate to owner and reforecast.",IF(K7="Medium","Review assumptions and adjust plan.",IF(K7="Low","Monitor next cycle.","No action required.")))</f>
        <v/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4" max="4"/>
    <col width="14" customWidth="1" min="5" max="5"/>
    <col width="14" customWidth="1" min="8" max="8"/>
    <col width="12" customWidth="1" min="9" max="9"/>
  </cols>
  <sheetData>
    <row r="1">
      <c r="A1" s="13" t="inlineStr">
        <is>
          <t>EPM Actual vs Forecast Insight Summary</t>
        </is>
      </c>
    </row>
    <row r="2">
      <c r="A2" s="14" t="inlineStr">
        <is>
          <t>Generated from the Data sheet using formulas.</t>
        </is>
      </c>
    </row>
    <row r="3">
      <c r="A3" t="inlineStr">
        <is>
          <t>Total Insight Rows</t>
        </is>
      </c>
      <c r="B3" t="n">
        <v>0</v>
      </c>
    </row>
    <row r="4">
      <c r="A4" s="15" t="inlineStr">
        <is>
          <t>High Severity Count</t>
        </is>
      </c>
      <c r="B4" s="16" t="n">
        <v>0</v>
      </c>
      <c r="D4" s="17" t="inlineStr">
        <is>
          <t>Top Patterns</t>
        </is>
      </c>
      <c r="H4" s="17" t="inlineStr">
        <is>
          <t>Severity</t>
        </is>
      </c>
      <c r="I4" s="17" t="inlineStr">
        <is>
          <t>Count</t>
        </is>
      </c>
    </row>
    <row r="5">
      <c r="A5" s="15" t="inlineStr">
        <is>
          <t>Total Forecast</t>
        </is>
      </c>
      <c r="B5" s="16">
        <f>SUM(Data!D2:D7)</f>
        <v/>
      </c>
      <c r="D5" s="5" t="inlineStr">
        <is>
          <t>Sustained upside</t>
        </is>
      </c>
      <c r="E5" s="11">
        <f>COUNTIF(Data!J2:J7,"Sustained upside")</f>
        <v/>
      </c>
      <c r="H5" t="inlineStr">
        <is>
          <t>High</t>
        </is>
      </c>
      <c r="I5">
        <f>COUNTIF(Data!K2:K7,H5)</f>
        <v/>
      </c>
    </row>
    <row r="6">
      <c r="A6" s="15" t="inlineStr">
        <is>
          <t>Total Variance</t>
        </is>
      </c>
      <c r="B6" s="16">
        <f>SUM(Data!G2:G7)</f>
        <v/>
      </c>
      <c r="D6" s="5" t="inlineStr">
        <is>
          <t>Sustained downside</t>
        </is>
      </c>
      <c r="E6" s="11">
        <f>COUNTIF(Data!J2:J7,"Sustained downside")</f>
        <v/>
      </c>
      <c r="H6" t="inlineStr">
        <is>
          <t>Medium</t>
        </is>
      </c>
      <c r="I6">
        <f>COUNTIF(Data!K2:K7,H6)</f>
        <v/>
      </c>
    </row>
    <row r="7">
      <c r="A7" s="15" t="inlineStr">
        <is>
          <t>Variance %</t>
        </is>
      </c>
      <c r="B7" s="18">
        <f>IFERROR(B6/B5,0)</f>
        <v/>
      </c>
      <c r="D7" s="5" t="inlineStr">
        <is>
          <t>Forecast bias</t>
        </is>
      </c>
      <c r="E7" s="11">
        <f>COUNTIF(Data!J2:J7,"Forecast bias")</f>
        <v/>
      </c>
      <c r="H7" t="inlineStr">
        <is>
          <t>Low</t>
        </is>
      </c>
      <c r="I7">
        <f>COUNTIF(Data!K2:K7,H7)</f>
        <v/>
      </c>
    </row>
    <row r="8">
      <c r="A8" s="15" t="inlineStr">
        <is>
          <t>High Severity</t>
        </is>
      </c>
      <c r="B8" s="19">
        <f>COUNTIF(Data!K2:K7,"High")</f>
        <v/>
      </c>
      <c r="D8" s="5" t="inlineStr">
        <is>
          <t>Outlier</t>
        </is>
      </c>
      <c r="E8" s="11">
        <f>COUNTIF(Data!J2:J7,"Outlier")</f>
        <v/>
      </c>
    </row>
    <row r="9">
      <c r="A9" s="15" t="inlineStr">
        <is>
          <t>Medium Severity</t>
        </is>
      </c>
      <c r="B9" s="19">
        <f>COUNTIF(Data!K2:K7,"Medium")</f>
        <v/>
      </c>
    </row>
    <row r="10">
      <c r="A10" s="15" t="inlineStr">
        <is>
          <t>Low Severity</t>
        </is>
      </c>
      <c r="B10" s="19">
        <f>COUNTIF(Data!K2:K7,"Low")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13" t="inlineStr">
        <is>
          <t>Actual vs Forecast Insights</t>
        </is>
      </c>
    </row>
    <row r="2">
      <c r="A2" s="14" t="inlineStr">
        <is>
          <t>Business-friendly narrative view for stakeholders.</t>
        </is>
      </c>
    </row>
    <row r="3">
      <c r="A3" t="inlineStr">
        <is>
          <t>Top 10 Variance Insights</t>
        </is>
      </c>
    </row>
    <row r="4">
      <c r="A4" s="20" t="inlineStr">
        <is>
          <t>Entity</t>
        </is>
      </c>
      <c r="B4" s="20" t="inlineStr">
        <is>
          <t>Account</t>
        </is>
      </c>
      <c r="C4" s="20" t="inlineStr">
        <is>
          <t>Actual</t>
        </is>
      </c>
      <c r="D4" s="20" t="inlineStr">
        <is>
          <t>Forecast</t>
        </is>
      </c>
      <c r="E4" s="20" t="inlineStr">
        <is>
          <t>Prior 1</t>
        </is>
      </c>
      <c r="F4" s="20" t="inlineStr">
        <is>
          <t>Prior 2</t>
        </is>
      </c>
      <c r="G4" s="20" t="inlineStr">
        <is>
          <t>Variance</t>
        </is>
      </c>
      <c r="H4" s="20" t="inlineStr">
        <is>
          <t>Var %</t>
        </is>
      </c>
      <c r="I4" s="20" t="inlineStr">
        <is>
          <t>Trend</t>
        </is>
      </c>
      <c r="J4" s="20" t="inlineStr">
        <is>
          <t>Pattern</t>
        </is>
      </c>
      <c r="K4" s="20" t="inlineStr">
        <is>
          <t>Severity</t>
        </is>
      </c>
      <c r="L4" s="20" t="inlineStr">
        <is>
          <t>Narrative Message</t>
        </is>
      </c>
      <c r="M4" s="20" t="inlineStr">
        <is>
          <t>Recommended Action</t>
        </is>
      </c>
    </row>
    <row r="5">
      <c r="A5" s="21">
        <f>Data!A2</f>
        <v/>
      </c>
      <c r="B5" s="21">
        <f>Data!B2</f>
        <v/>
      </c>
      <c r="C5" s="21">
        <f>Data!C2</f>
        <v/>
      </c>
      <c r="D5" s="21">
        <f>Data!D2</f>
        <v/>
      </c>
      <c r="E5" s="21">
        <f>Data!E2</f>
        <v/>
      </c>
      <c r="F5" s="21">
        <f>Data!F2</f>
        <v/>
      </c>
      <c r="G5" s="22">
        <f>Data!G2</f>
        <v/>
      </c>
      <c r="H5" s="23">
        <f>Data!H2</f>
        <v/>
      </c>
      <c r="I5" s="24">
        <f>Data!I2</f>
        <v/>
      </c>
      <c r="J5" s="24">
        <f>Data!J2</f>
        <v/>
      </c>
      <c r="K5" s="24">
        <f>Data!K2</f>
        <v/>
      </c>
      <c r="L5" s="24">
        <f>Data!L2</f>
        <v/>
      </c>
      <c r="M5" s="24">
        <f>Data!M2</f>
        <v/>
      </c>
    </row>
    <row r="6">
      <c r="A6" s="25">
        <f>Data!A3</f>
        <v/>
      </c>
      <c r="B6" s="25">
        <f>Data!B3</f>
        <v/>
      </c>
      <c r="C6" s="25">
        <f>Data!C3</f>
        <v/>
      </c>
      <c r="D6" s="25">
        <f>Data!D3</f>
        <v/>
      </c>
      <c r="E6" s="25">
        <f>Data!E3</f>
        <v/>
      </c>
      <c r="F6" s="25">
        <f>Data!F3</f>
        <v/>
      </c>
      <c r="G6" s="26">
        <f>Data!G3</f>
        <v/>
      </c>
      <c r="H6" s="27">
        <f>Data!H3</f>
        <v/>
      </c>
      <c r="I6" s="28">
        <f>Data!I3</f>
        <v/>
      </c>
      <c r="J6" s="28">
        <f>Data!J3</f>
        <v/>
      </c>
      <c r="K6" s="28">
        <f>Data!K3</f>
        <v/>
      </c>
      <c r="L6" s="28">
        <f>Data!L3</f>
        <v/>
      </c>
      <c r="M6" s="28">
        <f>Data!M3</f>
        <v/>
      </c>
    </row>
    <row r="7">
      <c r="A7" s="25">
        <f>Data!A4</f>
        <v/>
      </c>
      <c r="B7" s="25">
        <f>Data!B4</f>
        <v/>
      </c>
      <c r="C7" s="25">
        <f>Data!C4</f>
        <v/>
      </c>
      <c r="D7" s="25">
        <f>Data!D4</f>
        <v/>
      </c>
      <c r="E7" s="25">
        <f>Data!E4</f>
        <v/>
      </c>
      <c r="F7" s="25">
        <f>Data!F4</f>
        <v/>
      </c>
      <c r="G7" s="27">
        <f>Data!G4</f>
        <v/>
      </c>
      <c r="H7" s="27">
        <f>Data!H4</f>
        <v/>
      </c>
      <c r="I7" s="28">
        <f>Data!I4</f>
        <v/>
      </c>
      <c r="J7" s="28">
        <f>Data!J4</f>
        <v/>
      </c>
      <c r="K7" s="28">
        <f>Data!K4</f>
        <v/>
      </c>
      <c r="L7" s="28">
        <f>Data!L4</f>
        <v/>
      </c>
      <c r="M7" s="28">
        <f>Data!M4</f>
        <v/>
      </c>
    </row>
    <row r="8">
      <c r="A8" s="29">
        <f>Data!A5</f>
        <v/>
      </c>
      <c r="B8" s="29">
        <f>Data!B5</f>
        <v/>
      </c>
      <c r="C8" s="29">
        <f>Data!C5</f>
        <v/>
      </c>
      <c r="D8" s="29">
        <f>Data!D5</f>
        <v/>
      </c>
      <c r="E8" s="29">
        <f>Data!E5</f>
        <v/>
      </c>
      <c r="F8" s="29">
        <f>Data!F5</f>
        <v/>
      </c>
      <c r="G8" s="30">
        <f>Data!G5</f>
        <v/>
      </c>
      <c r="H8" s="31">
        <f>Data!H5</f>
        <v/>
      </c>
      <c r="I8" s="32">
        <f>Data!I5</f>
        <v/>
      </c>
      <c r="J8" s="32">
        <f>Data!J5</f>
        <v/>
      </c>
      <c r="K8" s="32">
        <f>Data!K5</f>
        <v/>
      </c>
      <c r="L8" s="32">
        <f>Data!L5</f>
        <v/>
      </c>
      <c r="M8" s="32">
        <f>Data!M5</f>
        <v/>
      </c>
    </row>
    <row r="9">
      <c r="A9" s="33">
        <f>Data!A6</f>
        <v/>
      </c>
      <c r="B9" s="33">
        <f>Data!B6</f>
        <v/>
      </c>
      <c r="C9" s="33">
        <f>Data!C6</f>
        <v/>
      </c>
      <c r="D9" s="33">
        <f>Data!D6</f>
        <v/>
      </c>
      <c r="E9" s="33">
        <f>Data!E6</f>
        <v/>
      </c>
      <c r="F9" s="33">
        <f>Data!F6</f>
        <v/>
      </c>
      <c r="G9" s="34">
        <f>Data!G6</f>
        <v/>
      </c>
      <c r="H9" s="35">
        <f>Data!H6</f>
        <v/>
      </c>
      <c r="I9" s="36">
        <f>Data!I6</f>
        <v/>
      </c>
      <c r="J9" s="36">
        <f>Data!J6</f>
        <v/>
      </c>
      <c r="K9" s="36">
        <f>Data!K6</f>
        <v/>
      </c>
      <c r="L9" s="36">
        <f>Data!L6</f>
        <v/>
      </c>
      <c r="M9" s="36">
        <f>Data!M6</f>
        <v/>
      </c>
    </row>
    <row r="10">
      <c r="A10" s="33">
        <f>Data!A7</f>
        <v/>
      </c>
      <c r="B10" s="33">
        <f>Data!B7</f>
        <v/>
      </c>
      <c r="C10" s="33">
        <f>Data!C7</f>
        <v/>
      </c>
      <c r="D10" s="33">
        <f>Data!D7</f>
        <v/>
      </c>
      <c r="E10" s="33">
        <f>Data!E7</f>
        <v/>
      </c>
      <c r="F10" s="33">
        <f>Data!F7</f>
        <v/>
      </c>
      <c r="G10" s="34">
        <f>Data!G7</f>
        <v/>
      </c>
      <c r="H10" s="35">
        <f>Data!H7</f>
        <v/>
      </c>
      <c r="I10" s="36">
        <f>Data!I7</f>
        <v/>
      </c>
      <c r="J10" s="36">
        <f>Data!J7</f>
        <v/>
      </c>
      <c r="K10" s="36">
        <f>Data!K7</f>
        <v/>
      </c>
      <c r="L10" s="36">
        <f>Data!L7</f>
        <v/>
      </c>
      <c r="M10" s="36">
        <f>Data!M7</f>
        <v/>
      </c>
    </row>
    <row r="12">
      <c r="A12" s="5" t="inlineStr">
        <is>
          <t>How the report reads:</t>
        </is>
      </c>
    </row>
    <row r="13">
      <c r="A13" s="14" t="inlineStr">
        <is>
          <t>1. Use the Summary tab for totals and exception counts.</t>
        </is>
      </c>
    </row>
    <row r="14">
      <c r="A14" s="14" t="inlineStr">
        <is>
          <t>2. Use the Insights tab for row-by-row narrative messages.</t>
        </is>
      </c>
    </row>
    <row r="15">
      <c r="A15" s="14" t="inlineStr">
        <is>
          <t>3. Update the Data tab and formulas refresh automatically in Excel.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7" t="inlineStr">
        <is>
          <t>Template purpose</t>
        </is>
      </c>
    </row>
    <row r="2">
      <c r="A2" t="inlineStr">
        <is>
          <t>Generate an exception-based Actual vs Forecast insight report from coded data inputs.</t>
        </is>
      </c>
    </row>
    <row r="4">
      <c r="A4" s="5" t="inlineStr">
        <is>
          <t>Recommended process</t>
        </is>
      </c>
    </row>
    <row r="5">
      <c r="A5" t="inlineStr">
        <is>
          <t>1) Paste monthly or period data into the Data sheet.</t>
        </is>
      </c>
    </row>
    <row r="6">
      <c r="A6" t="inlineStr">
        <is>
          <t>2) Maintain 3 months of history for each row so trend formulas work.</t>
        </is>
      </c>
    </row>
    <row r="7">
      <c r="A7" t="inlineStr">
        <is>
          <t>3) Adjust thresholds on the Controls sheet.</t>
        </is>
      </c>
    </row>
    <row r="8">
      <c r="A8" t="inlineStr">
        <is>
          <t>4) Open the Summary and Insights tabs for the report output.</t>
        </is>
      </c>
    </row>
    <row r="10">
      <c r="A10" s="5" t="inlineStr">
        <is>
          <t>Message examples</t>
        </is>
      </c>
    </row>
    <row r="11">
      <c r="A11" s="14" t="inlineStr">
        <is>
          <t>Actual is above forecast for 3 consecutive periods.</t>
        </is>
      </c>
    </row>
    <row r="12">
      <c r="A12" s="14" t="inlineStr">
        <is>
          <t>Forecast is consistently optimistic versus actuals.</t>
        </is>
      </c>
    </row>
    <row r="13">
      <c r="A13" s="14" t="inlineStr">
        <is>
          <t>Value is outside the normal band and should be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2026-04-21T04:16:03Z</dcterms:created>
  <dcterms:modified xmlns:dcterms="http://purl.org/dc/terms/" xmlns:xsi="http://www.w3.org/2001/XMLSchema-instance" xsi:type="dcterms:W3CDTF">2026-04-21T06:15:21Z</dcterms:modified>
</cp:coreProperties>
</file>